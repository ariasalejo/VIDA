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43ee895ab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esgo" sheetId="1" r:id="Raef1abca7faa4adf"/>
    <x:sheet xmlns:r="http://schemas.openxmlformats.org/officeDocument/2006/relationships" name="Criterios" sheetId="2" r:id="Rfe744cad0a73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color rgb="FFFFFFFF"/>
      <x:name val="Carlito"/>
    </x:font>
    <x:font>
      <x:b/>
      <x:sz val="12"/>
      <x:color rgb="FF0B3558"/>
      <x:name val="Carlito"/>
    </x:font>
    <x:font>
      <x:b/>
      <x:sz val="11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0B3558"/>
      </x:patternFill>
    </x:fill>
    <x:fill>
      <x:patternFill patternType="solid">
        <x:fgColor rgb="FF1F5F8B"/>
      </x:patternFill>
    </x:fill>
    <x:fill>
      <x:patternFill patternType="solid">
        <x:fgColor rgb="FFDCEAF4"/>
      </x:patternFill>
    </x:fill>
    <x:fill>
      <x:patternFill patternType="solid">
        <x:fgColor rgb="FFEEF3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8A1C1C"/>
      </x:font>
      <x:fill>
        <x:patternFill patternType="solid">
          <x:bgColor rgb="FFF8D7DA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  <x:dxf>
      <x:font>
        <x:b/>
        <x:color rgb="FF246B2A"/>
      </x:font>
      <x:fill>
        <x:patternFill patternType="solid">
          <x:bgColor rgb="FFDFF0D8"/>
        </x:patternFill>
      </x:fill>
    </x:dxf>
    <x:dxf>
      <x:font>
        <x:b/>
        <x:color rgb="FF8A1C1C"/>
      </x:font>
      <x:fill>
        <x:patternFill patternType="solid">
          <x:bgColor rgb="FFF8D7DA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  <x:dxf>
      <x:font>
        <x:b/>
        <x:color rgb="FF246B2A"/>
      </x:font>
      <x:fill>
        <x:patternFill patternType="solid">
          <x:bgColor rgb="FFD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0f692d25c4623" /><Relationship Type="http://schemas.openxmlformats.org/officeDocument/2006/relationships/theme" Target="/xl/theme/theme1.xml" Id="Rae2e7697dace4c1c" /><Relationship Type="http://schemas.openxmlformats.org/officeDocument/2006/relationships/sharedStrings" Target="/xl/sharedStrings.xml" Id="R8072b9586b174cb5" /><Relationship Type="http://schemas.openxmlformats.org/officeDocument/2006/relationships/worksheet" Target="/xl/worksheets/sheet1.xml" Id="Raef1abca7faa4adf" /><Relationship Type="http://schemas.openxmlformats.org/officeDocument/2006/relationships/worksheet" Target="/xl/worksheets/sheet2.xml" Id="Rfe744cad0a73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24" hidden="0" customWidth="1"/>
    <x:col min="4" max="4" width="31" hidden="0" customWidth="1"/>
    <x:col min="5" max="5" width="16" hidden="0" customWidth="1"/>
    <x:col min="6" max="6" width="13" hidden="0" customWidth="1"/>
    <x:col min="7" max="7" width="15" hidden="0" customWidth="1"/>
    <x:col min="8" max="8" width="16" hidden="0" customWidth="1"/>
    <x:col min="9" max="9" width="40" hidden="0" customWidth="1"/>
    <x:col min="10" max="10" width="20" hidden="0" customWidth="1"/>
    <x:col min="11" max="11" width="42" hidden="0" customWidth="1"/>
  </x:cols>
  <x:sheetData>
    <x:row r="1" ht="28" customHeight="1">
      <x:c r="A1" s="17" t="str">
        <x:v>SERVICIO NACIONAL DE APRENDIZAJE - SENA</x:v>
      </x:c>
    </x:row>
    <x:row r="2" ht="28" customHeight="1">
      <x:c r="A2" s="25" t="str">
        <x:v>APROPIACIÓN DE LOS CONCEPTOS EN CIBERSEGURIDAD</x:v>
      </x:c>
    </x:row>
    <x:row r="3" ht="28" customHeight="1">
      <x:c r="A3" s="33" t="str">
        <x:v>AA3_EV01 - FORMATO MATRIZ DE RIESGO</x:v>
      </x:c>
    </x:row>
    <x:row r="4">
      <x:c r="A4" s="39" t="str">
        <x:v>Aprendiz</x:v>
      </x:c>
      <x:c r="B4" s="39" t="str">
        <x:v>Eduar Alejandro Arias Londoño</x:v>
      </x:c>
      <x:c r="C4" s="39" t="str"/>
      <x:c r="D4" s="39" t="str">
        <x:v>Curso</x:v>
      </x:c>
      <x:c r="E4" s="39" t="str">
        <x:v>3583924</x:v>
      </x:c>
      <x:c r="F4" s="39" t="str"/>
      <x:c r="G4" s="39" t="str">
        <x:v>Actividad</x:v>
      </x:c>
      <x:c r="H4" s="39" t="str">
        <x:v>AA3_EV01</x:v>
      </x:c>
      <x:c r="I4" s="39" t="str"/>
      <x:c r="J4" s="39" t="str">
        <x:v>Fecha</x:v>
      </x:c>
      <x:c r="K4" s="42" t="n">
        <x:v>46270</x:v>
      </x:c>
    </x:row>
    <x:row r="6" ht="28" customHeight="1">
      <x:c r="A6" s="10" t="str">
        <x:v>ID</x:v>
      </x:c>
      <x:c r="B6" s="10" t="str">
        <x:v>Activo / elemento de información</x:v>
      </x:c>
      <x:c r="C6" s="10" t="str">
        <x:v>Amenaza</x:v>
      </x:c>
      <x:c r="D6" s="10" t="str">
        <x:v>Vulnerabilidad</x:v>
      </x:c>
      <x:c r="E6" s="10" t="str">
        <x:v>Probabilidad (2-4)</x:v>
      </x:c>
      <x:c r="F6" s="10" t="str">
        <x:v>Impacto (2-4)</x:v>
      </x:c>
      <x:c r="G6" s="10" t="str">
        <x:v>Riesgo = P x I</x:v>
      </x:c>
      <x:c r="H6" s="10" t="str">
        <x:v>Nivel de riesgo</x:v>
      </x:c>
      <x:c r="I6" s="10" t="str">
        <x:v>Controles / salvaguardas</x:v>
      </x:c>
      <x:c r="J6" s="10" t="str">
        <x:v>Estrategia</x:v>
      </x:c>
      <x:c r="K6" s="10" t="str">
        <x:v>Justificación / tratamiento</x:v>
      </x:c>
    </x:row>
    <x:row r="7" ht="58" customHeight="1">
      <x:c r="A7" s="48" t="n">
        <x:v>1</x:v>
      </x:c>
      <x:c r="B7" s="11" t="str">
        <x:v>Servidor y bases de datos</x:v>
      </x:c>
      <x:c r="C7" s="11" t="str">
        <x:v>Acceso no autorizado</x:v>
      </x:c>
      <x:c r="D7" s="11" t="str">
        <x:v>Credenciales comprometidas / permisos excesivos</x:v>
      </x:c>
      <x:c r="E7" s="48" t="n">
        <x:v>4</x:v>
      </x:c>
      <x:c r="F7" s="48" t="n">
        <x:v>4</x:v>
      </x:c>
      <x:c r="G7" s="48" t="n">
        <x:f>E7*F7</x:f>
        <x:v>16</x:v>
      </x:c>
      <x:c r="H7" s="48" t="str">
        <x:f>IF(G7&gt;=13,"Alto",IF(G7&gt;=10,"Medio","Bajo"))</x:f>
        <x:v>Alto</x:v>
      </x:c>
      <x:c r="I7" s="11" t="str">
        <x:v>MFA; listas de control de acceso (ACL); monitoreo; políticas de contraseñas</x:v>
      </x:c>
      <x:c r="J7" s="11" t="str">
        <x:v>Mitigar</x:v>
      </x:c>
      <x:c r="K7" s="11" t="str">
        <x:v>Riesgo alto. Reforzar autenticación y privilegios mínimos.</x:v>
      </x:c>
    </x:row>
    <x:row r="8" ht="58" customHeight="1">
      <x:c r="A8" s="48" t="n">
        <x:v>2</x:v>
      </x:c>
      <x:c r="B8" s="11" t="str">
        <x:v>Servidor y servicios críticos</x:v>
      </x:c>
      <x:c r="C8" s="11" t="str">
        <x:v>Malware / ransomware</x:v>
      </x:c>
      <x:c r="D8" s="11" t="str">
        <x:v>Sistemas desactualizados y protección insuficiente</x:v>
      </x:c>
      <x:c r="E8" s="48" t="n">
        <x:v>4</x:v>
      </x:c>
      <x:c r="F8" s="48" t="n">
        <x:v>4</x:v>
      </x:c>
      <x:c r="G8" s="48" t="n">
        <x:f>E8*F8</x:f>
        <x:v>16</x:v>
      </x:c>
      <x:c r="H8" s="48" t="str">
        <x:f>IF(G8&gt;=13,"Alto",IF(G8&gt;=10,"Medio","Bajo"))</x:f>
        <x:v>Alto</x:v>
      </x:c>
      <x:c r="I8" s="11" t="str">
        <x:v>Antimalware; actualización; copias de respaldo; segmentación; plan de recuperación</x:v>
      </x:c>
      <x:c r="J8" s="11" t="str">
        <x:v>Mitigar</x:v>
      </x:c>
      <x:c r="K8" s="11" t="str">
        <x:v>Riesgo alto. Reducir probabilidad y limitar impacto mediante prevención y recuperación.</x:v>
      </x:c>
    </x:row>
    <x:row r="9" ht="58" customHeight="1">
      <x:c r="A9" s="48" t="n">
        <x:v>3</x:v>
      </x:c>
      <x:c r="B9" s="11" t="str">
        <x:v>Estaciones de trabajo</x:v>
      </x:c>
      <x:c r="C9" s="11" t="str">
        <x:v>Phishing / ingeniería social</x:v>
      </x:c>
      <x:c r="D9" s="11" t="str">
        <x:v>Falta de capacitación y validación de mensajes</x:v>
      </x:c>
      <x:c r="E9" s="48" t="n">
        <x:v>3</x:v>
      </x:c>
      <x:c r="F9" s="48" t="n">
        <x:v>3</x:v>
      </x:c>
      <x:c r="G9" s="48" t="n">
        <x:f>E9*F9</x:f>
        <x:v>9</x:v>
      </x:c>
      <x:c r="H9" s="48" t="str">
        <x:f>IF(G9&gt;=13,"Alto",IF(G9&gt;=10,"Medio","Bajo"))</x:f>
        <x:v>Bajo</x:v>
      </x:c>
      <x:c r="I9" s="11" t="str">
        <x:v>Capacitación; filtros de correo; MFA; políticas de seguridad</x:v>
      </x:c>
      <x:c r="J9" s="11" t="str">
        <x:v>Mitigar</x:v>
      </x:c>
      <x:c r="K9" s="11" t="str">
        <x:v>Riesgo medio. Fortalecer controles preventivos y conocimiento del usuario.</x:v>
      </x:c>
    </x:row>
    <x:row r="10" ht="58" customHeight="1">
      <x:c r="A10" s="48" t="n">
        <x:v>4</x:v>
      </x:c>
      <x:c r="B10" s="11" t="str">
        <x:v>Cuarto de telecomunicaciones / rack</x:v>
      </x:c>
      <x:c r="C10" s="11" t="str">
        <x:v>Fallas eléctricas</x:v>
      </x:c>
      <x:c r="D10" s="11" t="str">
        <x:v>Ausencia de respaldo eléctrico suficiente</x:v>
      </x:c>
      <x:c r="E10" s="48" t="n">
        <x:v>3</x:v>
      </x:c>
      <x:c r="F10" s="48" t="n">
        <x:v>4</x:v>
      </x:c>
      <x:c r="G10" s="48" t="n">
        <x:f>E10*F10</x:f>
        <x:v>12</x:v>
      </x:c>
      <x:c r="H10" s="48" t="str">
        <x:f>IF(G10&gt;=13,"Alto",IF(G10&gt;=10,"Medio","Bajo"))</x:f>
        <x:v>Medio</x:v>
      </x:c>
      <x:c r="I10" s="11" t="str">
        <x:v>UPS; fuentes de potencia; mantenimiento; plan de contingencia</x:v>
      </x:c>
      <x:c r="J10" s="11" t="str">
        <x:v>Mitigar</x:v>
      </x:c>
      <x:c r="K10" s="11" t="str">
        <x:v>Riesgo alto. La disponibilidad puede verse comprometida; implementar respaldo eléctrico.</x:v>
      </x:c>
    </x:row>
    <x:row r="11" ht="58" customHeight="1">
      <x:c r="A11" s="48" t="n">
        <x:v>5</x:v>
      </x:c>
      <x:c r="B11" s="11" t="str">
        <x:v>Cableado y red</x:v>
      </x:c>
      <x:c r="C11" s="11" t="str">
        <x:v>Interrupción / daño físico</x:v>
      </x:c>
      <x:c r="D11" s="11" t="str">
        <x:v>Cableado eléctrico y de red cercano o sin adecuada organización</x:v>
      </x:c>
      <x:c r="E11" s="48" t="n">
        <x:v>3</x:v>
      </x:c>
      <x:c r="F11" s="48" t="n">
        <x:v>3</x:v>
      </x:c>
      <x:c r="G11" s="48" t="n">
        <x:f>E11*F11</x:f>
        <x:v>9</x:v>
      </x:c>
      <x:c r="H11" s="48" t="str">
        <x:f>IF(G11&gt;=13,"Alto",IF(G11&gt;=10,"Medio","Bajo"))</x:f>
        <x:v>Bajo</x:v>
      </x:c>
      <x:c r="I11" s="11" t="str">
        <x:v>Seguridad de cableados; etiquetado; mantenimiento; documentación</x:v>
      </x:c>
      <x:c r="J11" s="11" t="str">
        <x:v>Mitigar</x:v>
      </x:c>
      <x:c r="K11" s="11" t="str">
        <x:v>Riesgo medio. Mejorar condiciones físicas y trazabilidad del cableado.</x:v>
      </x:c>
    </x:row>
    <x:row r="12" ht="58" customHeight="1">
      <x:c r="A12" s="48" t="n">
        <x:v>6</x:v>
      </x:c>
      <x:c r="B12" s="11" t="str">
        <x:v>Oficinas e infraestructura</x:v>
      </x:c>
      <x:c r="C12" s="11" t="str">
        <x:v>Ingreso no autorizado / robo</x:v>
      </x:c>
      <x:c r="D12" s="11" t="str">
        <x:v>Controles físicos insuficientes</x:v>
      </x:c>
      <x:c r="E12" s="48" t="n">
        <x:v>3</x:v>
      </x:c>
      <x:c r="F12" s="48" t="n">
        <x:v>4</x:v>
      </x:c>
      <x:c r="G12" s="48" t="n">
        <x:f>E12*F12</x:f>
        <x:v>12</x:v>
      </x:c>
      <x:c r="H12" s="48" t="str">
        <x:f>IF(G12&gt;=13,"Alto",IF(G12&gt;=10,"Medio","Bajo"))</x:f>
        <x:v>Medio</x:v>
      </x:c>
      <x:c r="I12" s="11" t="str">
        <x:v>CCTV; guardias; identificación; puertas con seguros; control de acceso</x:v>
      </x:c>
      <x:c r="J12" s="11" t="str">
        <x:v>Mitigar / Transferir</x:v>
      </x:c>
      <x:c r="K12" s="11" t="str">
        <x:v>Riesgo alto. Reforzar seguridad física y evaluar cobertura de seguro.</x:v>
      </x:c>
    </x:row>
    <x:row r="13" ht="58" customHeight="1">
      <x:c r="A13" s="48" t="n">
        <x:v>7</x:v>
      </x:c>
      <x:c r="B13" s="11" t="str">
        <x:v>Información crítica</x:v>
      </x:c>
      <x:c r="C13" s="11" t="str">
        <x:v>Falta de cifrado</x:v>
      </x:c>
      <x:c r="D13" s="11" t="str">
        <x:v>Datos críticos almacenados o transmitidos sin cifrado adecuado</x:v>
      </x:c>
      <x:c r="E13" s="48" t="n">
        <x:v>3</x:v>
      </x:c>
      <x:c r="F13" s="48" t="n">
        <x:v>4</x:v>
      </x:c>
      <x:c r="G13" s="48" t="n">
        <x:f>E13*F13</x:f>
        <x:v>12</x:v>
      </x:c>
      <x:c r="H13" s="48" t="str">
        <x:f>IF(G13&gt;=13,"Alto",IF(G13&gt;=10,"Medio","Bajo"))</x:f>
        <x:v>Medio</x:v>
      </x:c>
      <x:c r="I13" s="11" t="str">
        <x:v>Encriptación; ACL; control de acceso; respaldo seguro</x:v>
      </x:c>
      <x:c r="J13" s="11" t="str">
        <x:v>Mitigar</x:v>
      </x:c>
      <x:c r="K13" s="11" t="str">
        <x:v>Riesgo alto. Proteger confidencialidad e integridad de la información.</x:v>
      </x:c>
    </x:row>
    <x:row r="14" ht="58" customHeight="1">
      <x:c r="A14" s="48" t="n">
        <x:v>8</x:v>
      </x:c>
      <x:c r="B14" s="11" t="str">
        <x:v>Documentación y procesos</x:v>
      </x:c>
      <x:c r="C14" s="11" t="str">
        <x:v>Negligencia / incumplimiento</x:v>
      </x:c>
      <x:c r="D14" s="11" t="str">
        <x:v>Falta de procedimientos documentados o controles formales</x:v>
      </x:c>
      <x:c r="E14" s="48" t="n">
        <x:v>3</x:v>
      </x:c>
      <x:c r="F14" s="48" t="n">
        <x:v>3</x:v>
      </x:c>
      <x:c r="G14" s="48" t="n">
        <x:f>E14*F14</x:f>
        <x:v>9</x:v>
      </x:c>
      <x:c r="H14" s="48" t="str">
        <x:f>IF(G14&gt;=13,"Alto",IF(G14&gt;=10,"Medio","Bajo"))</x:f>
        <x:v>Bajo</x:v>
      </x:c>
      <x:c r="I14" s="11" t="str">
        <x:v>Políticas; procedimientos; capacitación; auditorías internas</x:v>
      </x:c>
      <x:c r="J14" s="11" t="str">
        <x:v>Mitigar</x:v>
      </x:c>
      <x:c r="K14" s="11" t="str">
        <x:v>Riesgo medio. Formalizar procedimientos y verificar su cumplimiento.</x:v>
      </x:c>
    </x:row>
    <x:row r="16" ht="28" customHeight="1">
      <x:c r="A16" s="50" t="str">
        <x:v>CRITERIOS DE EVALUACIÓN UTILIZADOS</x:v>
      </x:c>
    </x:row>
    <x:row r="17">
      <x:c r="A17" s="11" t="str">
        <x:v>Probabilidad</x:v>
      </x:c>
      <x:c r="B17" s="11" t="str">
        <x:v>2 = Baja</x:v>
      </x:c>
      <x:c r="C17" s="11" t="str">
        <x:v>3 = Media</x:v>
      </x:c>
      <x:c r="D17" s="11" t="str">
        <x:v>4 = Alta</x:v>
      </x:c>
      <x:c r="E17" s="11" t="str"/>
      <x:c r="F17" s="11" t="str">
        <x:v>Impacto</x:v>
      </x:c>
      <x:c r="G17" s="11" t="str">
        <x:v>2 = Bajo</x:v>
      </x:c>
      <x:c r="H17" s="11" t="str">
        <x:v>3 = Medio</x:v>
      </x:c>
      <x:c r="I17" s="11" t="str">
        <x:v>4 = Alto</x:v>
      </x:c>
      <x:c r="J17" s="11" t="str"/>
      <x:c r="K17" s="11" t="str"/>
    </x:row>
    <x:row r="18">
      <x:c r="A18" s="11" t="str">
        <x:v>Cálculo</x:v>
      </x:c>
      <x:c r="B18" s="11" t="str">
        <x:v>Riesgo = Probabilidad x Impacto</x:v>
      </x:c>
      <x:c r="C18" s="11" t="str"/>
      <x:c r="D18" s="11" t="str"/>
      <x:c r="E18" s="11" t="str"/>
      <x:c r="F18" s="11" t="str">
        <x:v>Rangos</x:v>
      </x:c>
      <x:c r="G18" s="11" t="str">
        <x:v>6-9 = Bajo</x:v>
      </x:c>
      <x:c r="H18" s="11" t="str">
        <x:v>10-12 = Medio</x:v>
      </x:c>
      <x:c r="I18" s="11" t="str">
        <x:v>13-16 = Alto</x:v>
      </x:c>
      <x:c r="J18" s="11" t="str"/>
      <x:c r="K18" s="11" t="str"/>
    </x:row>
    <x:row r="19">
      <x:c r="A19" s="11" t="str">
        <x:v>Amenazas</x:v>
      </x:c>
      <x:c r="B19" s="11" t="str">
        <x:v>Naturales, humanas y del entorno, según el material de formación.</x:v>
      </x:c>
      <x:c r="C19" s="11" t="str"/>
      <x:c r="D19" s="11" t="str"/>
      <x:c r="E19" s="11" t="str"/>
      <x:c r="F19" s="11" t="str">
        <x:v>Controles</x:v>
      </x:c>
      <x:c r="G19" s="11" t="str">
        <x:v>Físicos, técnicos y administrativos</x:v>
      </x:c>
      <x:c r="H19" s="11" t="str"/>
      <x:c r="I19" s="11" t="str"/>
      <x:c r="J19" s="11" t="str"/>
      <x:c r="K19" s="11" t="str"/>
    </x:row>
    <x:row r="20">
      <x:c r="A20" s="11" t="str">
        <x:v>Tratamiento</x:v>
      </x:c>
      <x:c r="B20" s="11" t="str">
        <x:v>Mitigar, transferir, eliminar o asumir el riesgo, según el nivel y las medidas disponibles.</x:v>
      </x:c>
      <x:c r="C20" s="11" t="str"/>
      <x:c r="D20" s="11" t="str"/>
      <x:c r="E20" s="11" t="str"/>
      <x:c r="F20" s="11" t="str">
        <x:v>Fuente</x:v>
      </x:c>
      <x:c r="G20" s="11" t="str">
        <x:v>Material de formación SENA - Unidad 2/3</x:v>
      </x:c>
      <x:c r="H20" s="11" t="str"/>
      <x:c r="I20" s="11" t="str"/>
      <x:c r="J20" s="11" t="str"/>
      <x:c r="K20" s="11" t="str"/>
    </x:row>
  </x:sheetData>
  <x:mergeCells>
    <x:mergeCell ref="A1:K1"/>
    <x:mergeCell ref="A2:K2"/>
    <x:mergeCell ref="A3:K3"/>
    <x:mergeCell ref="A16:K16"/>
  </x:mergeCells>
  <x:conditionalFormatting sqref="G7:G14">
    <x:cfRule type="expression" dxfId="0" priority="1">
      <x:formula>G7&gt;=13</x:formula>
    </x:cfRule>
    <x:cfRule type="expression" dxfId="1" priority="2">
      <x:formula>AND(G7&gt;=10,G7&lt;13)</x:formula>
    </x:cfRule>
    <x:cfRule type="expression" dxfId="2" priority="3">
      <x:formula>G7&lt;10</x:formula>
    </x:cfRule>
  </x:conditionalFormatting>
  <x:conditionalFormatting sqref="H7:H14">
    <x:cfRule type="expression" dxfId="3" priority="4">
      <x:formula>H7="Alto"</x:formula>
    </x:cfRule>
    <x:cfRule type="expression" dxfId="4" priority="5">
      <x:formula>H7="Medio"</x:formula>
    </x:cfRule>
    <x:cfRule type="expression" dxfId="5" priority="6">
      <x:formula>H7="Bajo"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13.380000114440918" hidden="0" customWidth="1"/>
    <x:col min="3" max="3" width="6.880000114440918" hidden="0" customWidth="1"/>
    <x:col min="4" max="4" width="20.5" hidden="0" customWidth="1"/>
  </x:cols>
  <x:sheetData>
    <x:row r="1" ht="15" hidden="0" customHeight="1">
      <x:c r="A1" s="10" t="str">
        <x:v>Criterio</x:v>
      </x:c>
      <x:c r="B1" s="10" t="str">
        <x:v>Bajo</x:v>
      </x:c>
      <x:c r="C1" s="10" t="str">
        <x:v>Medio</x:v>
      </x:c>
      <x:c r="D1" s="10" t="str">
        <x:v>Alto</x:v>
      </x:c>
    </x:row>
    <x:row r="2" ht="15" hidden="0" customHeight="1">
      <x:c r="A2" s="11" t="str">
        <x:v>Probabilidad</x:v>
      </x:c>
      <x:c r="B2" s="11" t="n">
        <x:v>2</x:v>
      </x:c>
      <x:c r="C2" s="11" t="n">
        <x:v>3</x:v>
      </x:c>
      <x:c r="D2" s="11" t="n">
        <x:v>4</x:v>
      </x:c>
    </x:row>
    <x:row r="3" ht="15" hidden="0" customHeight="1">
      <x:c r="A3" s="11" t="str">
        <x:v>Impacto</x:v>
      </x:c>
      <x:c r="B3" s="11" t="n">
        <x:v>2</x:v>
      </x:c>
      <x:c r="C3" s="11" t="n">
        <x:v>3</x:v>
      </x:c>
      <x:c r="D3" s="11" t="n">
        <x:v>4</x:v>
      </x:c>
    </x:row>
    <x:row r="4" ht="15" hidden="0" customHeight="1">
      <x:c r="A4" s="11" t="str">
        <x:v>Rango de riesgo</x:v>
      </x:c>
      <x:c r="B4" s="11" t="str">
        <x:v>6-9</x:v>
      </x:c>
      <x:c r="C4" s="11" t="str">
        <x:v>10-12</x:v>
      </x:c>
      <x:c r="D4" s="11" t="str">
        <x:v>13-16</x:v>
      </x:c>
    </x:row>
    <x:row r="5" ht="15" hidden="0" customHeight="1">
      <x:c r="A5" s="11" t="str">
        <x:v>Nivel</x:v>
      </x:c>
      <x:c r="B5" s="11" t="str">
        <x:v>Bajo</x:v>
      </x:c>
      <x:c r="C5" s="11" t="str">
        <x:v>Medio</x:v>
      </x:c>
      <x:c r="D5" s="11" t="str">
        <x:v>Alto</x:v>
      </x:c>
    </x:row>
    <x:row r="6" ht="15" hidden="0" customHeight="1">
      <x:c r="A6" s="11" t="str">
        <x:v>Estrategia</x:v>
      </x:c>
      <x:c r="B6" s="11" t="str">
        <x:v>Aceptar</x:v>
      </x:c>
      <x:c r="C6" s="11" t="str">
        <x:v>Mitigar</x:v>
      </x:c>
      <x:c r="D6" s="11" t="str">
        <x:v>Mitigar/Transferir/Eliminar</x:v>
      </x:c>
    </x:row>
    <x:row r="7" ht="15" hidden="0" customHeight="1">
      <x:c r="A7" s="11" t="str">
        <x:v>Amenaza ejemplo</x:v>
      </x:c>
      <x:c r="B7" s="11" t="str">
        <x:v>Accidente</x:v>
      </x:c>
      <x:c r="C7" s="11" t="str">
        <x:v>Phishing</x:v>
      </x:c>
      <x:c r="D7" s="11" t="str">
        <x:v>Robo/ataque dirigido</x:v>
      </x:c>
    </x:row>
    <x:row r="8" ht="15" hidden="0" customHeight="1">
      <x:c r="A8" s="11" t="str">
        <x:v>Control físico</x:v>
      </x:c>
      <x:c r="B8" s="11" t="str">
        <x:v>Señalización</x:v>
      </x:c>
      <x:c r="C8" s="11" t="str">
        <x:v>CCTV</x:v>
      </x:c>
      <x:c r="D8" s="11" t="str">
        <x:v>Control de acceso</x:v>
      </x:c>
    </x:row>
    <x:row r="9" ht="15" hidden="0" customHeight="1">
      <x:c r="A9" s="11" t="str">
        <x:v>Control técnico</x:v>
      </x:c>
      <x:c r="B9" s="11" t="str">
        <x:v>Backup ocasional</x:v>
      </x:c>
      <x:c r="C9" s="11" t="str">
        <x:v>MFA</x:v>
      </x:c>
      <x:c r="D9" s="11" t="str">
        <x:v>Cifrado + ACL</x:v>
      </x:c>
    </x:row>
    <x:row r="10" ht="15" hidden="0" customHeight="1">
      <x:c r="A10" s="11" t="str">
        <x:v>Control administrativo</x:v>
      </x:c>
      <x:c r="B10" s="11" t="str">
        <x:v>Capacitación</x:v>
      </x:c>
      <x:c r="C10" s="11" t="str">
        <x:v>Políticas</x:v>
      </x:c>
      <x:c r="D10" s="11" t="str">
        <x:v>Plan de respuesta</x:v>
      </x:c>
    </x:row>
  </x:sheetData>
  <x:pageMargins left="0.7" right="0.7" top="0.75" bottom="0.75" header="0.3" footer="0.3"/>
</x:worksheet>
</file>